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úlio Madruga\Documents\Cursos\DIO - Excel com IA\"/>
    </mc:Choice>
  </mc:AlternateContent>
  <xr:revisionPtr revIDLastSave="0" documentId="8_{F7FC32A2-0C3B-4857-9D12-D08805F6922E}" xr6:coauthVersionLast="47" xr6:coauthVersionMax="47" xr10:uidLastSave="{00000000-0000-0000-0000-000000000000}"/>
  <bookViews>
    <workbookView xWindow="-120" yWindow="-120" windowWidth="38640" windowHeight="21120" xr2:uid="{158461AB-00D3-4F47-AF12-B8B9D593E925}"/>
  </bookViews>
  <sheets>
    <sheet name="Planilha1" sheetId="1" r:id="rId1"/>
    <sheet name="Planilha2" sheetId="2" r:id="rId2"/>
  </sheets>
  <definedNames>
    <definedName name="aporte">Planilha1!$E$8</definedName>
    <definedName name="patrimonio">Planilha1!$E$11</definedName>
    <definedName name="qtd_anos">Planilha1!$E$9</definedName>
    <definedName name="rendimento_carteira">Planilha1!$J$9</definedName>
    <definedName name="salario">Planilha1!$J$8</definedName>
    <definedName name="sugestao_investimento">Planilha1!$J$10</definedName>
    <definedName name="taxa_mensal">Planilha1!$E$10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12" i="1" s="1"/>
  <c r="E15" i="1"/>
  <c r="F15" i="1" s="1"/>
  <c r="E16" i="1"/>
  <c r="F16" i="1" s="1"/>
  <c r="E17" i="1"/>
  <c r="F17" i="1" s="1"/>
  <c r="E18" i="1"/>
  <c r="F18" i="1" s="1"/>
  <c r="E19" i="1"/>
  <c r="F19" i="1" s="1"/>
  <c r="D28" i="1"/>
  <c r="D29" i="1"/>
  <c r="D30" i="1"/>
  <c r="D31" i="1"/>
  <c r="D32" i="1"/>
  <c r="D27" i="1"/>
  <c r="A15" i="2"/>
  <c r="A16" i="2"/>
  <c r="A17" i="2"/>
  <c r="A18" i="2"/>
  <c r="A19" i="2"/>
  <c r="A20" i="2"/>
  <c r="A9" i="2"/>
  <c r="A10" i="2"/>
  <c r="A11" i="2"/>
  <c r="A12" i="2"/>
  <c r="A13" i="2"/>
  <c r="A14" i="2"/>
  <c r="A4" i="2"/>
  <c r="A5" i="2"/>
  <c r="A6" i="2"/>
  <c r="A7" i="2"/>
  <c r="A8" i="2"/>
  <c r="A3" i="2"/>
  <c r="F24" i="1"/>
  <c r="J10" i="1"/>
  <c r="F28" i="1" l="1"/>
  <c r="F27" i="1"/>
  <c r="F32" i="1"/>
  <c r="F31" i="1"/>
  <c r="F30" i="1"/>
  <c r="F29" i="1"/>
  <c r="F33" i="1" l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<sst xmlns="http://schemas.openxmlformats.org/spreadsheetml/2006/main" count="70" uniqueCount="35">
  <si>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</si>
  <si>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</si>
  <si>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</si>
  <si>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</si>
  <si>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</si>
  <si>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</si>
  <si>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</si>
  <si>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</si>
  <si>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</si>
  <si>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30 anos?</t>
  </si>
  <si>
    <t>CENÁRIOS</t>
  </si>
  <si>
    <t>Quanto em 20 anos?</t>
  </si>
  <si>
    <t>Dividendo</t>
  </si>
  <si>
    <t>Rendimento Carteira</t>
  </si>
  <si>
    <t>Salário</t>
  </si>
  <si>
    <t>Sugestão de Investimento</t>
  </si>
  <si>
    <t>CONFIGURAÇÕES</t>
  </si>
  <si>
    <t xml:space="preserve"> </t>
  </si>
  <si>
    <t>Perfil</t>
  </si>
  <si>
    <t>Agressivo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</si>
  <si>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</si>
  <si>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</si>
  <si>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</si>
  <si>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</si>
  <si>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</si>
  <si>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</si>
  <si>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</si>
  <si>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</si>
  <si>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</si>
  <si>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</si>
  <si>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</si>
  <si>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PERFIL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</si>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</sst>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1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28"/>
      <color theme="0"/>
      <name val="Aptos Narrow"/>
      <family val="2"/>
      <scheme val="minor"/>
    </font>
    <font>
      <b/>
      <sz val="14"/>
      <color theme="0"/>
      <name val="Arial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2"/>
      <color rgb="FF9C5700"/>
      <name val="Segoe UI"/>
      <family val="2"/>
    </font>
    <font>
      <b/>
      <sz val="12"/>
      <color rgb="FF9C57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thin">
        <color theme="0" tint="-0.1499679555650502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ck">
        <color auto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ck">
        <color theme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1"/>
      </right>
      <top/>
      <bottom style="thin">
        <color theme="0" tint="-0.14996795556505021"/>
      </bottom>
      <diagonal/>
    </border>
    <border>
      <left style="thick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1"/>
      </left>
      <right style="thin">
        <color theme="0" tint="-0.14996795556505021"/>
      </right>
      <top style="thin">
        <color theme="0" tint="-0.14996795556505021"/>
      </top>
      <bottom style="thick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1"/>
      </bottom>
      <diagonal/>
    </border>
    <border>
      <left style="thin">
        <color theme="0" tint="-0.14996795556505021"/>
      </left>
      <right style="thick">
        <color theme="1"/>
      </right>
      <top style="thin">
        <color theme="0" tint="-0.14996795556505021"/>
      </top>
      <bottom style="thick">
        <color theme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thin">
        <color theme="0" tint="-0.14996795556505021"/>
      </left>
      <right style="thick">
        <color theme="1"/>
      </right>
      <top style="thin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7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5" borderId="2" xfId="0" applyFont="1" applyFill="1" applyBorder="1"/>
    <xf numFmtId="0" fontId="4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10" fontId="0" fillId="0" borderId="2" xfId="0" applyNumberFormat="1" applyBorder="1"/>
    <xf numFmtId="10" fontId="0" fillId="0" borderId="9" xfId="0" applyNumberFormat="1" applyBorder="1"/>
    <xf numFmtId="171" fontId="0" fillId="0" borderId="2" xfId="0" applyNumberFormat="1" applyBorder="1"/>
    <xf numFmtId="171" fontId="0" fillId="0" borderId="9" xfId="0" applyNumberFormat="1" applyBorder="1"/>
    <xf numFmtId="171" fontId="0" fillId="0" borderId="11" xfId="0" applyNumberFormat="1" applyBorder="1"/>
    <xf numFmtId="171" fontId="0" fillId="0" borderId="12" xfId="0" applyNumberFormat="1" applyBorder="1"/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0" fontId="0" fillId="3" borderId="17" xfId="0" applyFill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171" fontId="4" fillId="0" borderId="22" xfId="0" applyNumberFormat="1" applyFont="1" applyBorder="1"/>
    <xf numFmtId="0" fontId="4" fillId="0" borderId="23" xfId="0" applyFont="1" applyBorder="1"/>
    <xf numFmtId="171" fontId="4" fillId="0" borderId="24" xfId="0" applyNumberFormat="1" applyFont="1" applyBorder="1"/>
    <xf numFmtId="0" fontId="4" fillId="5" borderId="23" xfId="0" applyFont="1" applyFill="1" applyBorder="1"/>
    <xf numFmtId="0" fontId="4" fillId="5" borderId="25" xfId="0" applyFont="1" applyFill="1" applyBorder="1"/>
    <xf numFmtId="0" fontId="4" fillId="5" borderId="26" xfId="0" applyFont="1" applyFill="1" applyBorder="1"/>
    <xf numFmtId="171" fontId="4" fillId="0" borderId="27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9" fillId="2" borderId="0" xfId="2" applyFont="1" applyAlignment="1">
      <alignment horizontal="center" vertical="center"/>
    </xf>
    <xf numFmtId="0" fontId="7" fillId="6" borderId="0" xfId="0" applyFont="1" applyFill="1"/>
    <xf numFmtId="171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71" fontId="7" fillId="6" borderId="0" xfId="0" applyNumberFormat="1" applyFont="1" applyFill="1" applyAlignment="1">
      <alignment horizontal="center"/>
    </xf>
    <xf numFmtId="0" fontId="0" fillId="4" borderId="0" xfId="0" applyFill="1"/>
    <xf numFmtId="9" fontId="7" fillId="6" borderId="0" xfId="1" applyFont="1" applyFill="1" applyAlignment="1">
      <alignment horizontal="center"/>
    </xf>
    <xf numFmtId="171" fontId="4" fillId="0" borderId="29" xfId="0" applyNumberFormat="1" applyFont="1" applyBorder="1"/>
    <xf numFmtId="171" fontId="4" fillId="0" borderId="28" xfId="0" applyNumberFormat="1" applyFont="1" applyBorder="1"/>
    <xf numFmtId="171" fontId="4" fillId="0" borderId="30" xfId="0" applyNumberFormat="1" applyFont="1" applyBorder="1"/>
    <xf numFmtId="0" fontId="0" fillId="3" borderId="31" xfId="0" applyFill="1" applyBorder="1"/>
    <xf numFmtId="1" fontId="4" fillId="0" borderId="24" xfId="0" applyNumberFormat="1" applyFont="1" applyBorder="1"/>
    <xf numFmtId="10" fontId="4" fillId="0" borderId="24" xfId="0" applyNumberFormat="1" applyFont="1" applyBorder="1"/>
    <xf numFmtId="8" fontId="4" fillId="6" borderId="24" xfId="0" applyNumberFormat="1" applyFont="1" applyFill="1" applyBorder="1"/>
    <xf numFmtId="8" fontId="4" fillId="6" borderId="32" xfId="0" applyNumberFormat="1" applyFont="1" applyFill="1" applyBorder="1"/>
    <xf numFmtId="0" fontId="10" fillId="2" borderId="0" xfId="2" applyFont="1" applyAlignment="1">
      <alignment horizontal="left" vertical="center"/>
    </xf>
    <xf numFmtId="0" fontId="8" fillId="6" borderId="0" xfId="0" applyFont="1" applyFill="1" applyAlignment="1">
      <alignment horizontal="left"/>
    </xf>
    <xf numFmtId="171" fontId="8" fillId="4" borderId="0" xfId="0" applyNumberFormat="1" applyFont="1" applyFill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Planilha1!$D$26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Planilha1!$D$27:$D$32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3-4608-B123-386D59EA5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Planilha1!$C$26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Planilha1!$B$27:$B$32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Planilha1!$C$27:$C$32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D3-4608-B123-386D59EA537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194310</xdr:colOff>
      <xdr:row>0</xdr:row>
      <xdr:rowOff>152400</xdr:rowOff>
    </xdr:from>
    <xdr:to>
      <xdr:col>9</xdr:col>
      <xdr:colOff>481965</xdr:colOff>
      <xdr:row>4</xdr:row>
      <xdr:rowOff>193675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E3C1DE-BF95-AE92-AB1D-7C334F2A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2400"/>
          <a:ext cx="8953500" cy="2984500"/>
        </a:xfrm>
        <a:prstGeom prst="rect">
          <a:avLst/>
        </a:prstGeom>
      </xdr:spPr>
    </xdr:pic>
    <xdr:clientData/>
  </xdr:twoCellAnchor>
  <xdr:twoCellAnchor>
    <xdr:from>
      <xdr:col>0</xdr:col>
      <xdr:colOff>957262</xdr:colOff>
      <xdr:row>33</xdr:row>
      <xdr:rowOff>42862</xdr:rowOff>
    </xdr:from>
    <xdr:to>
      <xdr:col>4</xdr:col>
      <xdr:colOff>785812</xdr:colOff>
      <xdr:row>53</xdr:row>
      <xdr:rowOff>42862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4324949-000E-F8B1-B188-CEFC785EA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2465-23D0-484E-91E8-3EC2ED9416F7}">
  <dimension ref="B1:K1048519"/>
  <sheetViews>
    <sheetView showGridLines="0" tabSelected="1" topLeftCell="A5" workbookViewId="0">
      <selection activeCell="F39" sqref="F39"/>
    </sheetView>
  </sheetViews>
  <sheetFormatPr defaultColWidth="0" defaultRowHeight="14.1" customHeight="1" x14ac:dyDescent="0.25"/>
  <cols>
    <col min="1" max="1" width="14.42578125" customWidth="1"/>
    <col min="2" max="2" width="14.140625" customWidth="1"/>
    <col min="3" max="3" width="14.42578125" customWidth="1"/>
    <col min="4" max="4" width="28.140625" customWidth="1"/>
    <col min="5" max="5" width="18.28515625" bestFit="1" customWidth="1"/>
    <col min="6" max="6" width="16.42578125" customWidth="1"/>
    <col min="7" max="7" width="14.42578125" customWidth="1"/>
    <col min="8" max="8" width="8.7109375" customWidth="1"/>
    <col min="9" max="9" width="14.42578125" hidden="1" customWidth="1"/>
    <col min="10" max="10" width="11.28515625" customWidth="1"/>
    <col min="11" max="11" width="16.85546875" customWidth="1"/>
    <col min="12" max="12" width="14.42578125" customWidth="1"/>
    <col min="13" max="16384" width="14.42578125" hidden="1"/>
  </cols>
  <sheetData>
    <row r="1" spans="2:11" ht="15" x14ac:dyDescent="0.25">
      <c r="F1" t="s">
        <v>17</v>
      </c>
    </row>
    <row r="2" spans="2:11" ht="72.599999999999994" customHeight="1" x14ac:dyDescent="0.25"/>
    <row r="3" spans="2:11" ht="72.599999999999994" customHeight="1" x14ac:dyDescent="0.25"/>
    <row r="4" spans="2:11" ht="72.599999999999994" customHeight="1" x14ac:dyDescent="0.25"/>
    <row r="5" spans="2:11" ht="72.599999999999994" customHeight="1" x14ac:dyDescent="0.25"/>
    <row r="6" spans="2:11" ht="15.75" thickBot="1" x14ac:dyDescent="0.3"/>
    <row r="7" spans="2:11" ht="54" customHeight="1" thickTop="1" x14ac:dyDescent="0.25">
      <c r="B7" s="24" t="s">
        <v>5</v>
      </c>
      <c r="C7" s="25"/>
      <c r="D7" s="25"/>
      <c r="E7" s="59"/>
      <c r="G7" s="8" t="s">
        <v>16</v>
      </c>
      <c r="H7" s="9"/>
      <c r="I7" s="9"/>
      <c r="J7" s="9"/>
      <c r="K7" s="10"/>
    </row>
    <row r="8" spans="2:11" ht="15.75" x14ac:dyDescent="0.25">
      <c r="B8" s="26" t="s">
        <v>0</v>
      </c>
      <c r="C8" s="27"/>
      <c r="D8" s="27"/>
      <c r="E8" s="29">
        <v>500</v>
      </c>
      <c r="G8" s="11" t="s">
        <v>14</v>
      </c>
      <c r="H8" s="12"/>
      <c r="I8" s="12"/>
      <c r="J8" s="17">
        <v>6700</v>
      </c>
      <c r="K8" s="18"/>
    </row>
    <row r="9" spans="2:11" ht="15.75" x14ac:dyDescent="0.25">
      <c r="B9" s="1" t="s">
        <v>1</v>
      </c>
      <c r="C9" s="2"/>
      <c r="D9" s="2"/>
      <c r="E9" s="60">
        <v>5</v>
      </c>
      <c r="G9" s="11" t="s">
        <v>13</v>
      </c>
      <c r="H9" s="12"/>
      <c r="I9" s="12"/>
      <c r="J9" s="15">
        <v>8.9999999999999993E-3</v>
      </c>
      <c r="K9" s="16"/>
    </row>
    <row r="10" spans="2:11" ht="16.5" thickBot="1" x14ac:dyDescent="0.3">
      <c r="B10" s="1" t="s">
        <v>2</v>
      </c>
      <c r="C10" s="2"/>
      <c r="D10" s="2"/>
      <c r="E10" s="61">
        <v>1.0800000000000001E-2</v>
      </c>
      <c r="G10" s="13" t="s">
        <v>15</v>
      </c>
      <c r="H10" s="14"/>
      <c r="I10" s="14"/>
      <c r="J10" s="19">
        <f>J8*30%</f>
        <v>2010</v>
      </c>
      <c r="K10" s="20"/>
    </row>
    <row r="11" spans="2:11" ht="16.5" thickTop="1" x14ac:dyDescent="0.25">
      <c r="B11" s="4" t="s">
        <v>3</v>
      </c>
      <c r="C11" s="5"/>
      <c r="D11" s="5"/>
      <c r="E11" s="62">
        <f>FV(taxa_mensal,qtd_anos*12,aporte*-1)</f>
        <v>41902.00967962922</v>
      </c>
    </row>
    <row r="12" spans="2:11" ht="16.5" thickBot="1" x14ac:dyDescent="0.3">
      <c r="B12" s="6" t="s">
        <v>4</v>
      </c>
      <c r="C12" s="7"/>
      <c r="D12" s="7"/>
      <c r="E12" s="63">
        <f>patrimonio*rendimento_carteira</f>
        <v>377.11808711666293</v>
      </c>
    </row>
    <row r="13" spans="2:11" ht="15.75" thickBot="1" x14ac:dyDescent="0.3"/>
    <row r="14" spans="2:11" ht="45.75" customHeight="1" thickTop="1" x14ac:dyDescent="0.25">
      <c r="B14" s="21" t="s">
        <v>10</v>
      </c>
      <c r="C14" s="22"/>
      <c r="D14" s="22"/>
      <c r="E14" s="22"/>
      <c r="F14" s="23" t="s">
        <v>12</v>
      </c>
    </row>
    <row r="15" spans="2:11" ht="15.75" x14ac:dyDescent="0.25">
      <c r="B15" s="28" t="s">
        <v>6</v>
      </c>
      <c r="C15" s="27"/>
      <c r="D15" s="27"/>
      <c r="E15" s="56">
        <f>FV($E$10,2*12,$E$8*-1)</f>
        <v>13615.431830290796</v>
      </c>
      <c r="F15" s="29">
        <f>E15*rendimento_carteira</f>
        <v>122.53888647261715</v>
      </c>
    </row>
    <row r="16" spans="2:11" ht="15.75" x14ac:dyDescent="0.25">
      <c r="B16" s="30" t="s">
        <v>7</v>
      </c>
      <c r="C16" s="2"/>
      <c r="D16" s="2"/>
      <c r="E16" s="57">
        <f>FV($E$10,5*12,$E$8*-1)</f>
        <v>41902.00967962922</v>
      </c>
      <c r="F16" s="31">
        <f>E16*rendimento_carteira</f>
        <v>377.11808711666293</v>
      </c>
    </row>
    <row r="17" spans="2:6" ht="15.75" x14ac:dyDescent="0.25">
      <c r="B17" s="30" t="s">
        <v>8</v>
      </c>
      <c r="C17" s="2"/>
      <c r="D17" s="2"/>
      <c r="E17" s="57">
        <f>FV($E$10,10*12,$E$8*-1)</f>
        <v>121728.83312740005</v>
      </c>
      <c r="F17" s="31">
        <f>E17*rendimento_carteira</f>
        <v>1095.5594981466004</v>
      </c>
    </row>
    <row r="18" spans="2:6" ht="15.75" x14ac:dyDescent="0.25">
      <c r="B18" s="32" t="s">
        <v>11</v>
      </c>
      <c r="C18" s="3"/>
      <c r="D18" s="3"/>
      <c r="E18" s="57">
        <f>FV($E$10,20*12,$E$8*-1)</f>
        <v>563524.49664926168</v>
      </c>
      <c r="F18" s="31">
        <f>E18*rendimento_carteira</f>
        <v>5071.7204698433543</v>
      </c>
    </row>
    <row r="19" spans="2:6" ht="16.5" thickBot="1" x14ac:dyDescent="0.3">
      <c r="B19" s="33" t="s">
        <v>9</v>
      </c>
      <c r="C19" s="34"/>
      <c r="D19" s="34"/>
      <c r="E19" s="58">
        <f>FV($E$10,30*12,$E$8*-1)</f>
        <v>2166952.4051583759</v>
      </c>
      <c r="F19" s="35">
        <f>E19*rendimento_carteira</f>
        <v>19502.571646425382</v>
      </c>
    </row>
    <row r="20" spans="2:6" ht="15.75" thickTop="1" x14ac:dyDescent="0.25"/>
    <row r="21" spans="2:6" ht="15" x14ac:dyDescent="0.25"/>
    <row r="22" spans="2:6" ht="3.75" customHeight="1" x14ac:dyDescent="0.25"/>
    <row r="23" spans="2:6" ht="19.5" customHeight="1" x14ac:dyDescent="0.25">
      <c r="B23" s="64" t="s">
        <v>18</v>
      </c>
      <c r="C23" s="64"/>
      <c r="D23" s="64"/>
      <c r="E23" s="64"/>
      <c r="F23" s="47" t="s">
        <v>19</v>
      </c>
    </row>
    <row r="24" spans="2:6" ht="14.1" customHeight="1" x14ac:dyDescent="0.3">
      <c r="B24" s="65" t="s">
        <v>21</v>
      </c>
      <c r="C24" s="65"/>
      <c r="D24" s="65"/>
      <c r="E24" s="65"/>
      <c r="F24" s="49">
        <f>aporte</f>
        <v>500</v>
      </c>
    </row>
    <row r="25" spans="2:6" ht="23.25" customHeight="1" x14ac:dyDescent="0.3">
      <c r="B25" s="48"/>
      <c r="C25" s="48"/>
      <c r="D25" s="48"/>
      <c r="E25" s="48"/>
      <c r="F25" s="48"/>
    </row>
    <row r="26" spans="2:6" ht="14.1" customHeight="1" x14ac:dyDescent="0.3">
      <c r="B26" s="50" t="s">
        <v>22</v>
      </c>
      <c r="C26" s="50"/>
      <c r="D26" s="51" t="s">
        <v>23</v>
      </c>
      <c r="E26" s="51"/>
      <c r="F26" s="51" t="s">
        <v>24</v>
      </c>
    </row>
    <row r="27" spans="2:6" ht="14.1" customHeight="1" x14ac:dyDescent="0.3">
      <c r="B27" s="52" t="s">
        <v>25</v>
      </c>
      <c r="C27" s="52"/>
      <c r="D27" s="55">
        <f>VLOOKUP($F$23&amp;" - "&amp;B27,Planilha2!$A:$E,5,)</f>
        <v>0.5</v>
      </c>
      <c r="E27" s="55"/>
      <c r="F27" s="53">
        <f>D27*$F$24</f>
        <v>250</v>
      </c>
    </row>
    <row r="28" spans="2:6" ht="14.1" customHeight="1" x14ac:dyDescent="0.3">
      <c r="B28" s="52" t="s">
        <v>26</v>
      </c>
      <c r="C28" s="52"/>
      <c r="D28" s="55">
        <f>VLOOKUP($F$23&amp;" - "&amp;B28,Planilha2!$A:$E,5,)</f>
        <v>0.1</v>
      </c>
      <c r="E28" s="55"/>
      <c r="F28" s="53">
        <f>D28*$F$24</f>
        <v>50</v>
      </c>
    </row>
    <row r="29" spans="2:6" ht="14.1" customHeight="1" x14ac:dyDescent="0.3">
      <c r="B29" s="52" t="s">
        <v>27</v>
      </c>
      <c r="C29" s="52"/>
      <c r="D29" s="55">
        <f>VLOOKUP($F$23&amp;" - "&amp;B29,Planilha2!$A:$E,5,)</f>
        <v>0.05</v>
      </c>
      <c r="E29" s="55"/>
      <c r="F29" s="53">
        <f>D29*$F$24</f>
        <v>25</v>
      </c>
    </row>
    <row r="30" spans="2:6" ht="14.1" customHeight="1" x14ac:dyDescent="0.3">
      <c r="B30" s="52" t="s">
        <v>28</v>
      </c>
      <c r="C30" s="52"/>
      <c r="D30" s="55">
        <f>VLOOKUP($F$23&amp;" - "&amp;B30,Planilha2!$A:$E,5,)</f>
        <v>0.05</v>
      </c>
      <c r="E30" s="55"/>
      <c r="F30" s="53">
        <f>D30*$F$24</f>
        <v>25</v>
      </c>
    </row>
    <row r="31" spans="2:6" ht="14.1" customHeight="1" x14ac:dyDescent="0.3">
      <c r="B31" s="52" t="s">
        <v>29</v>
      </c>
      <c r="C31" s="52"/>
      <c r="D31" s="55">
        <f>VLOOKUP($F$23&amp;" - "&amp;B31,Planilha2!$A:$E,5,)</f>
        <v>0.2</v>
      </c>
      <c r="E31" s="55"/>
      <c r="F31" s="53">
        <f>D31*$F$24</f>
        <v>100</v>
      </c>
    </row>
    <row r="32" spans="2:6" ht="14.1" customHeight="1" x14ac:dyDescent="0.3">
      <c r="B32" s="52" t="s">
        <v>30</v>
      </c>
      <c r="C32" s="52"/>
      <c r="D32" s="55">
        <f>VLOOKUP($F$23&amp;" - "&amp;B32,Planilha2!$A:$E,5,)</f>
        <v>0.1</v>
      </c>
      <c r="E32" s="55"/>
      <c r="F32" s="53">
        <f>D32*$F$24</f>
        <v>50</v>
      </c>
    </row>
    <row r="33" spans="2:6" ht="19.5" customHeight="1" x14ac:dyDescent="0.25">
      <c r="B33" s="54"/>
      <c r="C33" s="54"/>
      <c r="D33" s="54"/>
      <c r="E33" s="54"/>
      <c r="F33" s="66">
        <f>SUM(F27:F32)</f>
        <v>500</v>
      </c>
    </row>
    <row r="49" ht="15" hidden="1" x14ac:dyDescent="0.25"/>
    <row r="50" ht="15" hidden="1" x14ac:dyDescent="0.25"/>
    <row r="51" ht="15" hidden="1" x14ac:dyDescent="0.25"/>
    <row r="52" ht="15" hidden="1" x14ac:dyDescent="0.25"/>
    <row r="1048519" ht="18" customHeight="1" x14ac:dyDescent="0.25"/>
  </sheetData>
  <mergeCells count="27">
    <mergeCell ref="B24:E24"/>
    <mergeCell ref="B23:E23"/>
    <mergeCell ref="B32:C32"/>
    <mergeCell ref="B27:C27"/>
    <mergeCell ref="B26:C26"/>
    <mergeCell ref="B28:C28"/>
    <mergeCell ref="B29:C29"/>
    <mergeCell ref="B30:C30"/>
    <mergeCell ref="B31:C31"/>
    <mergeCell ref="G7:K7"/>
    <mergeCell ref="G8:I8"/>
    <mergeCell ref="G9:I9"/>
    <mergeCell ref="G10:I10"/>
    <mergeCell ref="J8:K8"/>
    <mergeCell ref="J9:K9"/>
    <mergeCell ref="J10:K10"/>
    <mergeCell ref="B19:D19"/>
    <mergeCell ref="B16:D16"/>
    <mergeCell ref="B17:D17"/>
    <mergeCell ref="B18:D18"/>
    <mergeCell ref="B8:D8"/>
    <mergeCell ref="B9:D9"/>
    <mergeCell ref="B10:D10"/>
    <mergeCell ref="B11:D11"/>
    <mergeCell ref="B12:D12"/>
    <mergeCell ref="B15:D15"/>
    <mergeCell ref="B14:E14"/>
  </mergeCells>
  <dataValidations count="1">
    <dataValidation type="list" allowBlank="1" showInputMessage="1" showErrorMessage="1" sqref="F23" xr:uid="{A4A6EB08-5E0B-4781-A794-54E42CDA3571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B34F-3432-4694-8BA6-F8A9AB547E80}">
  <dimension ref="A2:H20"/>
  <sheetViews>
    <sheetView workbookViewId="0">
      <selection activeCell="J10" sqref="J10"/>
    </sheetView>
  </sheetViews>
  <sheetFormatPr defaultRowHeight="15" x14ac:dyDescent="0.25"/>
  <cols>
    <col min="1" max="1" width="31.7109375" bestFit="1" customWidth="1"/>
    <col min="2" max="2" width="12.140625" bestFit="1" customWidth="1"/>
    <col min="5" max="5" width="7.140625" bestFit="1" customWidth="1"/>
    <col min="7" max="7" width="17.85546875" bestFit="1" customWidth="1"/>
  </cols>
  <sheetData>
    <row r="2" spans="1:8" s="41" customFormat="1" x14ac:dyDescent="0.25">
      <c r="A2" s="38" t="s">
        <v>33</v>
      </c>
      <c r="B2" s="38" t="s">
        <v>31</v>
      </c>
      <c r="C2" s="40" t="s">
        <v>22</v>
      </c>
      <c r="D2" s="40"/>
      <c r="E2" s="38" t="s">
        <v>32</v>
      </c>
    </row>
    <row r="3" spans="1:8" x14ac:dyDescent="0.25">
      <c r="A3" s="36" t="str">
        <f>B3&amp;" - "&amp;C3</f>
        <v>Conservador - PAPEL</v>
      </c>
      <c r="B3" s="36" t="s">
        <v>20</v>
      </c>
      <c r="C3" s="37" t="s">
        <v>25</v>
      </c>
      <c r="D3" s="37"/>
      <c r="E3" s="44">
        <v>0.3</v>
      </c>
      <c r="F3" s="39"/>
      <c r="G3" s="39"/>
      <c r="H3" s="39"/>
    </row>
    <row r="4" spans="1:8" x14ac:dyDescent="0.25">
      <c r="A4" s="36" t="str">
        <f t="shared" ref="A4:A20" si="0">B4&amp;" - "&amp;C4</f>
        <v>Conservador - TIJOLO</v>
      </c>
      <c r="B4" s="36" t="s">
        <v>20</v>
      </c>
      <c r="C4" s="37" t="s">
        <v>26</v>
      </c>
      <c r="D4" s="37"/>
      <c r="E4" s="44">
        <v>0.5</v>
      </c>
      <c r="F4" s="39"/>
      <c r="G4" s="39"/>
      <c r="H4" s="39"/>
    </row>
    <row r="5" spans="1:8" x14ac:dyDescent="0.25">
      <c r="A5" s="36" t="str">
        <f t="shared" si="0"/>
        <v>Conservador - HÍBRIDO</v>
      </c>
      <c r="B5" s="36" t="s">
        <v>20</v>
      </c>
      <c r="C5" s="37" t="s">
        <v>27</v>
      </c>
      <c r="D5" s="37"/>
      <c r="E5" s="44">
        <v>0.1</v>
      </c>
      <c r="F5" s="39"/>
    </row>
    <row r="6" spans="1:8" x14ac:dyDescent="0.25">
      <c r="A6" s="36" t="str">
        <f t="shared" si="0"/>
        <v>Conservador - FOFs</v>
      </c>
      <c r="B6" s="36" t="s">
        <v>20</v>
      </c>
      <c r="C6" s="37" t="s">
        <v>28</v>
      </c>
      <c r="D6" s="37"/>
      <c r="E6" s="44">
        <v>0.1</v>
      </c>
      <c r="F6" s="39"/>
      <c r="G6" s="39"/>
      <c r="H6" s="39"/>
    </row>
    <row r="7" spans="1:8" x14ac:dyDescent="0.25">
      <c r="A7" s="36" t="str">
        <f t="shared" si="0"/>
        <v>Conservador - DESENVOLVIMENTO</v>
      </c>
      <c r="B7" s="36" t="s">
        <v>20</v>
      </c>
      <c r="C7" s="37" t="s">
        <v>29</v>
      </c>
      <c r="D7" s="37"/>
      <c r="E7" s="44">
        <v>0</v>
      </c>
      <c r="F7" s="39"/>
      <c r="G7" s="39"/>
      <c r="H7" s="39"/>
    </row>
    <row r="8" spans="1:8" ht="15.75" thickBot="1" x14ac:dyDescent="0.3">
      <c r="A8" s="43" t="str">
        <f t="shared" si="0"/>
        <v>Conservador - HOTELARIAS</v>
      </c>
      <c r="B8" s="43" t="s">
        <v>20</v>
      </c>
      <c r="C8" s="42" t="s">
        <v>30</v>
      </c>
      <c r="D8" s="42"/>
      <c r="E8" s="45">
        <v>0</v>
      </c>
      <c r="F8" s="39"/>
      <c r="G8" s="39"/>
      <c r="H8" s="39"/>
    </row>
    <row r="9" spans="1:8" x14ac:dyDescent="0.25">
      <c r="A9" s="36" t="str">
        <f t="shared" si="0"/>
        <v>Moderado - PAPEL</v>
      </c>
      <c r="B9" s="36" t="s">
        <v>34</v>
      </c>
      <c r="C9" s="37" t="s">
        <v>25</v>
      </c>
      <c r="D9" s="37"/>
      <c r="E9" s="46">
        <v>0.32</v>
      </c>
    </row>
    <row r="10" spans="1:8" x14ac:dyDescent="0.25">
      <c r="A10" s="36" t="str">
        <f t="shared" si="0"/>
        <v>Moderado - TIJOLO</v>
      </c>
      <c r="B10" s="36" t="s">
        <v>34</v>
      </c>
      <c r="C10" s="37" t="s">
        <v>26</v>
      </c>
      <c r="D10" s="37"/>
      <c r="E10" s="46">
        <v>0.35</v>
      </c>
    </row>
    <row r="11" spans="1:8" x14ac:dyDescent="0.25">
      <c r="A11" s="36" t="str">
        <f t="shared" si="0"/>
        <v>Moderado - HÍBRIDO</v>
      </c>
      <c r="B11" s="36" t="s">
        <v>34</v>
      </c>
      <c r="C11" s="37" t="s">
        <v>27</v>
      </c>
      <c r="D11" s="37"/>
      <c r="E11" s="46">
        <v>0.08</v>
      </c>
    </row>
    <row r="12" spans="1:8" x14ac:dyDescent="0.25">
      <c r="A12" s="36" t="str">
        <f t="shared" si="0"/>
        <v>Moderado - FOFs</v>
      </c>
      <c r="B12" s="36" t="s">
        <v>34</v>
      </c>
      <c r="C12" s="37" t="s">
        <v>28</v>
      </c>
      <c r="D12" s="37"/>
      <c r="E12" s="46">
        <v>0.05</v>
      </c>
    </row>
    <row r="13" spans="1:8" x14ac:dyDescent="0.25">
      <c r="A13" s="36" t="str">
        <f t="shared" si="0"/>
        <v>Moderado - DESENVOLVIMENTO</v>
      </c>
      <c r="B13" s="36" t="s">
        <v>34</v>
      </c>
      <c r="C13" s="37" t="s">
        <v>29</v>
      </c>
      <c r="D13" s="37"/>
      <c r="E13" s="46">
        <v>0.1</v>
      </c>
    </row>
    <row r="14" spans="1:8" ht="15.75" thickBot="1" x14ac:dyDescent="0.3">
      <c r="A14" s="43" t="str">
        <f t="shared" si="0"/>
        <v>Moderado - HOTELARIAS</v>
      </c>
      <c r="B14" s="43" t="s">
        <v>34</v>
      </c>
      <c r="C14" s="42" t="s">
        <v>30</v>
      </c>
      <c r="D14" s="42"/>
      <c r="E14" s="45">
        <v>0.1</v>
      </c>
    </row>
    <row r="15" spans="1:8" x14ac:dyDescent="0.25">
      <c r="A15" s="36" t="str">
        <f t="shared" si="0"/>
        <v>Agressivo - PAPEL</v>
      </c>
      <c r="B15" s="36" t="s">
        <v>19</v>
      </c>
      <c r="C15" s="37" t="s">
        <v>25</v>
      </c>
      <c r="D15" s="37"/>
      <c r="E15" s="44">
        <v>0.5</v>
      </c>
    </row>
    <row r="16" spans="1:8" x14ac:dyDescent="0.25">
      <c r="A16" s="36" t="str">
        <f t="shared" si="0"/>
        <v>Agressivo - TIJOLO</v>
      </c>
      <c r="B16" s="36" t="s">
        <v>19</v>
      </c>
      <c r="C16" s="37" t="s">
        <v>26</v>
      </c>
      <c r="D16" s="37"/>
      <c r="E16" s="44">
        <v>0.1</v>
      </c>
    </row>
    <row r="17" spans="1:5" x14ac:dyDescent="0.25">
      <c r="A17" s="36" t="str">
        <f t="shared" si="0"/>
        <v>Agressivo - HÍBRIDO</v>
      </c>
      <c r="B17" s="36" t="s">
        <v>19</v>
      </c>
      <c r="C17" s="37" t="s">
        <v>27</v>
      </c>
      <c r="D17" s="37"/>
      <c r="E17" s="44">
        <v>0.05</v>
      </c>
    </row>
    <row r="18" spans="1:5" x14ac:dyDescent="0.25">
      <c r="A18" s="36" t="str">
        <f t="shared" si="0"/>
        <v>Agressivo - FOFs</v>
      </c>
      <c r="B18" s="36" t="s">
        <v>19</v>
      </c>
      <c r="C18" s="37" t="s">
        <v>28</v>
      </c>
      <c r="D18" s="37"/>
      <c r="E18" s="44">
        <v>0.05</v>
      </c>
    </row>
    <row r="19" spans="1:5" x14ac:dyDescent="0.25">
      <c r="A19" s="36" t="str">
        <f t="shared" si="0"/>
        <v>Agressivo - DESENVOLVIMENTO</v>
      </c>
      <c r="B19" s="36" t="s">
        <v>19</v>
      </c>
      <c r="C19" s="37" t="s">
        <v>29</v>
      </c>
      <c r="D19" s="37"/>
      <c r="E19" s="44">
        <v>0.2</v>
      </c>
    </row>
    <row r="20" spans="1:5" x14ac:dyDescent="0.25">
      <c r="A20" s="36" t="str">
        <f t="shared" si="0"/>
        <v>Agressivo - HOTELARIAS</v>
      </c>
      <c r="B20" s="36" t="s">
        <v>19</v>
      </c>
      <c r="C20" s="37" t="s">
        <v>30</v>
      </c>
      <c r="D20" s="37"/>
      <c r="E20" s="44">
        <v>0.1</v>
      </c>
    </row>
  </sheetData>
  <mergeCells count="19">
    <mergeCell ref="C20:D20"/>
    <mergeCell ref="C14:D14"/>
    <mergeCell ref="C15:D15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2:D2"/>
    <mergeCell ref="C3:D3"/>
    <mergeCell ref="C4:D4"/>
    <mergeCell ref="C5:D5"/>
    <mergeCell ref="C6:D6"/>
    <mergeCell ref="C7:D7"/>
    <mergeCell ref="C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Madruga</dc:creator>
  <cp:lastModifiedBy>Júlio César Madruga</cp:lastModifiedBy>
  <dcterms:created xsi:type="dcterms:W3CDTF">2026-10-20T00:43:52Z</dcterms:created>
  <dcterms:modified xsi:type="dcterms:W3CDTF">2026-10-20T04:17:51Z</dcterms:modified>
</cp:coreProperties>
</file>